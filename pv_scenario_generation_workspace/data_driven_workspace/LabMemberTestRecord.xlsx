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clemson-my.sharepoint.com/personal/rongyaw_clemson_edu/Documents/Mixed_Reality/2025-2026 CRA H-CAV Research/MachE_human_adaptive_mpc/"/>
    </mc:Choice>
  </mc:AlternateContent>
  <xr:revisionPtr revIDLastSave="172" documentId="11_F25DC773A252ABDACC10486DE9D864EA5BDE58EF" xr6:coauthVersionLast="47" xr6:coauthVersionMax="47" xr10:uidLastSave="{5D0EE75C-9480-4945-A1D4-5C5D668856E5}"/>
  <bookViews>
    <workbookView xWindow="28680" yWindow="8625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J13" i="1"/>
  <c r="J12" i="1"/>
  <c r="J8" i="1"/>
  <c r="J9" i="1"/>
  <c r="J7" i="1"/>
  <c r="J3" i="1"/>
  <c r="J4" i="1"/>
  <c r="J2" i="1"/>
</calcChain>
</file>

<file path=xl/sharedStrings.xml><?xml version="1.0" encoding="utf-8"?>
<sst xmlns="http://schemas.openxmlformats.org/spreadsheetml/2006/main" count="50" uniqueCount="24">
  <si>
    <t>Hongqian with no update</t>
  </si>
  <si>
    <t># Intervention</t>
  </si>
  <si>
    <t>Energy [kJ]</t>
  </si>
  <si>
    <t>Power [kW]</t>
  </si>
  <si>
    <t>Hongqian with update</t>
  </si>
  <si>
    <t>Final speed tracking cost</t>
  </si>
  <si>
    <t>Energy efficiency improvement</t>
  </si>
  <si>
    <t>Logistic parameters
val(x) = a / (1 + exp(-b * (x - c)))</t>
  </si>
  <si>
    <t>dc0</t>
  </si>
  <si>
    <t>a=0.1089</t>
  </si>
  <si>
    <t>dc1</t>
  </si>
  <si>
    <t>b=-0.2135</t>
  </si>
  <si>
    <t>dc2</t>
  </si>
  <si>
    <t>c=27.78</t>
  </si>
  <si>
    <t>Jialun with no update</t>
  </si>
  <si>
    <t>Jialun with update</t>
  </si>
  <si>
    <t>a=0.1534</t>
  </si>
  <si>
    <t>b=-0.1955</t>
  </si>
  <si>
    <t>c=18.36</t>
  </si>
  <si>
    <t>Mayuresh with no update</t>
  </si>
  <si>
    <t>Mayuresh with update</t>
  </si>
  <si>
    <t>a=0.2105</t>
  </si>
  <si>
    <t>b=-0.1102</t>
  </si>
  <si>
    <t>c=14.06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</si>
</sst>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0" borderId="2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topLeftCell="B1" workbookViewId="0">
      <selection activeCell="K19" sqref="K19"/>
    </sheetView>
  </sheetViews>
  <sheetFormatPr defaultRowHeight="15" x14ac:dyDescent="0.25"/>
  <cols>
    <col min="1" max="1" width="27" bestFit="1" customWidth="1"/>
    <col min="2" max="2" width="13.7109375" bestFit="1" customWidth="1"/>
    <col min="3" max="3" width="10.5703125" bestFit="1" customWidth="1"/>
    <col min="4" max="4" width="11.42578125" bestFit="1" customWidth="1"/>
    <col min="5" max="5" width="23.7109375" bestFit="1" customWidth="1"/>
    <col min="6" max="6" width="13.7109375" bestFit="1" customWidth="1"/>
    <col min="7" max="7" width="10.5703125" bestFit="1" customWidth="1"/>
    <col min="8" max="8" width="11.42578125" bestFit="1" customWidth="1"/>
    <col min="9" max="9" width="23" bestFit="1" customWidth="1"/>
    <col min="10" max="10" width="29.28515625" bestFit="1" customWidth="1"/>
    <col min="11" max="11" width="50.42578125" customWidth="1"/>
    <col min="12" max="12" width="34.5703125" customWidth="1"/>
  </cols>
  <sheetData>
    <row r="1" spans="1:12" ht="30" x14ac:dyDescent="0.25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1</v>
      </c>
      <c r="G1" s="3" t="s">
        <v>2</v>
      </c>
      <c r="H1" s="3" t="s">
        <v>3</v>
      </c>
      <c r="I1" s="3" t="s">
        <v>5</v>
      </c>
      <c r="J1" s="3" t="s">
        <v>6</v>
      </c>
      <c r="K1" s="9" t="s">
        <v>7</v>
      </c>
      <c r="L1" s="1"/>
    </row>
    <row r="2" spans="1:12" x14ac:dyDescent="0.25">
      <c r="A2" s="3" t="s">
        <v>8</v>
      </c>
      <c r="B2" s="3">
        <v>13</v>
      </c>
      <c r="C2" s="3">
        <v>1114.99</v>
      </c>
      <c r="D2" s="3">
        <v>4.0199999999999996</v>
      </c>
      <c r="E2" s="3"/>
      <c r="F2" s="3">
        <v>3</v>
      </c>
      <c r="G2" s="3">
        <v>632.45000000000005</v>
      </c>
      <c r="H2" s="3">
        <v>2.48</v>
      </c>
      <c r="I2" s="3">
        <v>26.25</v>
      </c>
      <c r="J2" s="4">
        <f>(D2-H2)/D2*100</f>
        <v>38.308457711442777</v>
      </c>
      <c r="K2" t="s">
        <v>9</v>
      </c>
    </row>
    <row r="3" spans="1:12" x14ac:dyDescent="0.25">
      <c r="A3" s="3" t="s">
        <v>10</v>
      </c>
      <c r="B3" s="3">
        <v>9</v>
      </c>
      <c r="C3" s="3">
        <v>803.52300000000002</v>
      </c>
      <c r="D3" s="3">
        <v>3.18</v>
      </c>
      <c r="E3" s="3"/>
      <c r="F3" s="3">
        <v>3</v>
      </c>
      <c r="G3" s="3">
        <v>559.32000000000005</v>
      </c>
      <c r="H3" s="3">
        <v>2.27</v>
      </c>
      <c r="I3" s="3">
        <v>44.37</v>
      </c>
      <c r="J3" s="4">
        <f>(D3-H3)/D3*100</f>
        <v>28.616352201257868</v>
      </c>
      <c r="K3" t="s">
        <v>11</v>
      </c>
    </row>
    <row r="4" spans="1:12" x14ac:dyDescent="0.25">
      <c r="A4" s="3" t="s">
        <v>12</v>
      </c>
      <c r="B4" s="3">
        <v>6</v>
      </c>
      <c r="C4" s="3">
        <v>642.25</v>
      </c>
      <c r="D4" s="3">
        <v>2.46</v>
      </c>
      <c r="E4" s="3"/>
      <c r="F4" s="3">
        <v>1</v>
      </c>
      <c r="G4" s="3">
        <v>516.02</v>
      </c>
      <c r="H4" s="3">
        <v>2.12</v>
      </c>
      <c r="I4" s="3">
        <v>29.01</v>
      </c>
      <c r="J4" s="4">
        <f>(D4-H4)/D4*100</f>
        <v>13.821138211382108</v>
      </c>
      <c r="K4" t="s">
        <v>13</v>
      </c>
    </row>
    <row r="6" spans="1:12" ht="30" x14ac:dyDescent="0.25">
      <c r="A6" s="2" t="s">
        <v>14</v>
      </c>
      <c r="B6" s="3" t="s">
        <v>1</v>
      </c>
      <c r="C6" s="3" t="s">
        <v>2</v>
      </c>
      <c r="D6" s="3" t="s">
        <v>3</v>
      </c>
      <c r="E6" s="2" t="s">
        <v>15</v>
      </c>
      <c r="F6" s="3" t="s">
        <v>1</v>
      </c>
      <c r="G6" s="3" t="s">
        <v>2</v>
      </c>
      <c r="H6" s="3" t="s">
        <v>3</v>
      </c>
      <c r="I6" s="3" t="s">
        <v>5</v>
      </c>
      <c r="J6" s="3" t="s">
        <v>6</v>
      </c>
      <c r="K6" s="9" t="s">
        <v>7</v>
      </c>
    </row>
    <row r="7" spans="1:12" x14ac:dyDescent="0.25">
      <c r="A7" s="3" t="s">
        <v>8</v>
      </c>
      <c r="B7" s="3">
        <v>10</v>
      </c>
      <c r="C7" s="3">
        <v>845</v>
      </c>
      <c r="D7" s="3">
        <v>3.34</v>
      </c>
      <c r="E7" s="3"/>
      <c r="F7" s="3">
        <v>7</v>
      </c>
      <c r="G7" s="3">
        <v>708.76</v>
      </c>
      <c r="H7" s="3">
        <v>2.84</v>
      </c>
      <c r="I7" s="3">
        <v>59.67</v>
      </c>
      <c r="J7" s="4">
        <f>(D7-H7)/D7*100</f>
        <v>14.970059880239523</v>
      </c>
      <c r="K7" t="s">
        <v>16</v>
      </c>
    </row>
    <row r="8" spans="1:12" x14ac:dyDescent="0.25">
      <c r="A8" s="5" t="s">
        <v>10</v>
      </c>
      <c r="B8" s="5">
        <v>9</v>
      </c>
      <c r="C8" s="5">
        <v>829.24</v>
      </c>
      <c r="D8" s="5">
        <v>3.31</v>
      </c>
      <c r="E8" s="5"/>
      <c r="F8" s="5">
        <v>12</v>
      </c>
      <c r="G8" s="5">
        <v>1254.98</v>
      </c>
      <c r="H8" s="5">
        <v>5.0599999999999996</v>
      </c>
      <c r="I8" s="5">
        <v>31.03</v>
      </c>
      <c r="J8" s="6">
        <f>(D8-H8)/D8*100</f>
        <v>-52.87009063444107</v>
      </c>
      <c r="K8" t="s">
        <v>17</v>
      </c>
    </row>
    <row r="9" spans="1:12" x14ac:dyDescent="0.25">
      <c r="A9" s="3" t="s">
        <v>12</v>
      </c>
      <c r="B9" s="3">
        <v>21</v>
      </c>
      <c r="C9" s="3">
        <v>1176</v>
      </c>
      <c r="D9" s="3">
        <v>4.92</v>
      </c>
      <c r="E9" s="3"/>
      <c r="F9" s="3">
        <v>10</v>
      </c>
      <c r="G9" s="3">
        <v>1112.82</v>
      </c>
      <c r="H9" s="3">
        <v>4.59</v>
      </c>
      <c r="I9" s="3">
        <v>27.46</v>
      </c>
      <c r="J9" s="4">
        <f>(D9-H9)/D9*100</f>
        <v>6.7073170731707332</v>
      </c>
      <c r="K9" t="s">
        <v>18</v>
      </c>
    </row>
    <row r="11" spans="1:12" ht="15.75" x14ac:dyDescent="0.25">
      <c r="A11" s="2" t="s">
        <v>19</v>
      </c>
      <c r="B11" s="3" t="s">
        <v>1</v>
      </c>
      <c r="C11" s="3" t="s">
        <v>2</v>
      </c>
      <c r="D11" s="3" t="s">
        <v>3</v>
      </c>
      <c r="E11" s="2" t="s">
        <v>20</v>
      </c>
      <c r="F11" s="3" t="s">
        <v>1</v>
      </c>
      <c r="G11" s="3" t="s">
        <v>2</v>
      </c>
      <c r="H11" s="3" t="s">
        <v>3</v>
      </c>
      <c r="I11" s="3" t="s">
        <v>5</v>
      </c>
      <c r="J11" s="3" t="s">
        <v>6</v>
      </c>
    </row>
    <row r="12" spans="1:12" x14ac:dyDescent="0.25">
      <c r="A12" s="3" t="s">
        <v>8</v>
      </c>
      <c r="B12" s="3">
        <v>7</v>
      </c>
      <c r="C12" s="3">
        <v>690.15</v>
      </c>
      <c r="D12" s="3">
        <v>2.75</v>
      </c>
      <c r="E12" s="3"/>
      <c r="F12" s="3">
        <v>3</v>
      </c>
      <c r="G12" s="3">
        <v>608.66999999999996</v>
      </c>
      <c r="H12" s="3">
        <v>2.44</v>
      </c>
      <c r="I12" s="3">
        <v>0</v>
      </c>
      <c r="J12" s="4">
        <f>(D12-H12)/D12*100</f>
        <v>11.272727272727275</v>
      </c>
      <c r="K12" t="s">
        <v>21</v>
      </c>
    </row>
    <row r="13" spans="1:12" x14ac:dyDescent="0.25">
      <c r="A13" s="7" t="s">
        <v>10</v>
      </c>
      <c r="B13" s="7">
        <v>0</v>
      </c>
      <c r="C13" s="7">
        <v>644.95000000000005</v>
      </c>
      <c r="D13" s="7">
        <v>2.4900000000000002</v>
      </c>
      <c r="E13" s="7"/>
      <c r="F13" s="7">
        <v>3</v>
      </c>
      <c r="G13" s="7">
        <v>521.98</v>
      </c>
      <c r="H13" s="7">
        <v>2.13</v>
      </c>
      <c r="I13" s="7">
        <v>34.799999999999997</v>
      </c>
      <c r="J13" s="8">
        <f>(D13-H13)/D13*100</f>
        <v>14.457831325301216</v>
      </c>
      <c r="K13" t="s">
        <v>22</v>
      </c>
    </row>
    <row r="14" spans="1:12" x14ac:dyDescent="0.25">
      <c r="A14" s="7" t="s">
        <v>12</v>
      </c>
      <c r="B14" s="7">
        <v>0</v>
      </c>
      <c r="C14" s="7">
        <v>522.54999999999995</v>
      </c>
      <c r="D14" s="7">
        <v>2.19</v>
      </c>
      <c r="E14" s="7"/>
      <c r="F14" s="7">
        <v>1</v>
      </c>
      <c r="G14" s="7">
        <v>469.35</v>
      </c>
      <c r="H14" s="7">
        <v>1.95</v>
      </c>
      <c r="I14" s="7">
        <v>40.043999999999997</v>
      </c>
      <c r="J14" s="8">
        <f>(D14-H14)/D14*100</f>
        <v>10.95890410958904</v>
      </c>
      <c r="K14" t="s">
        <v>23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Rongyao Wang</dc:creator>
  <cp:keywords/>
  <dc:description/>
  <cp:lastModifiedBy>Rongyao Wang</cp:lastModifiedBy>
  <cp:revision/>
  <dcterms:created xsi:type="dcterms:W3CDTF">2015-06-05T18:17:20Z</dcterms:created>
  <dcterms:modified xsi:type="dcterms:W3CDTF">2026-01-19T15:31:27Z</dcterms:modified>
  <cp:category/>
  <cp:contentStatus/>
</cp:coreProperties>
</file>